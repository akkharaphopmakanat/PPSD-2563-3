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305273\P02-ReadWriteMod\"/>
    </mc:Choice>
  </mc:AlternateContent>
  <xr:revisionPtr revIDLastSave="0" documentId="13_ncr:1_{34990B23-9880-4C9C-84F2-23E798CFD4D7}" xr6:coauthVersionLast="46" xr6:coauthVersionMax="46" xr10:uidLastSave="{00000000-0000-0000-0000-000000000000}"/>
  <bookViews>
    <workbookView xWindow="-120" yWindow="-120" windowWidth="29040" windowHeight="15990" activeTab="4" xr2:uid="{DB8E4A5D-BC7D-47A8-B237-1231997BF60E}"/>
  </bookViews>
  <sheets>
    <sheet name="General Information" sheetId="5" r:id="rId1"/>
    <sheet name="Process Description" sheetId="8" r:id="rId2"/>
    <sheet name="Time Log" sheetId="2" r:id="rId3"/>
    <sheet name="Project Plan Summary" sheetId="4" r:id="rId4"/>
    <sheet name="Defect Log" sheetId="3" r:id="rId5"/>
    <sheet name="Process Improvement Proposal" sheetId="6" r:id="rId6"/>
    <sheet name="Constant" sheetId="1" r:id="rId7"/>
    <sheet name="Revision History" sheetId="7" r:id="rId8"/>
  </sheets>
  <definedNames>
    <definedName name="OneMinute">Constant!$B$1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2" l="1"/>
  <c r="E22" i="4"/>
  <c r="F22" i="4" s="1"/>
  <c r="D26" i="4"/>
  <c r="C26" i="4"/>
  <c r="E25" i="4"/>
  <c r="F25" i="4" s="1"/>
  <c r="E24" i="4"/>
  <c r="F24" i="4" s="1"/>
  <c r="E23" i="4"/>
  <c r="F23" i="4" s="1"/>
  <c r="E21" i="4"/>
  <c r="F21" i="4" s="1"/>
  <c r="E20" i="4"/>
  <c r="E26" i="4" s="1"/>
  <c r="F12" i="4"/>
  <c r="F13" i="4"/>
  <c r="F14" i="4"/>
  <c r="F15" i="4"/>
  <c r="F16" i="4"/>
  <c r="F11" i="4"/>
  <c r="F17" i="4" s="1"/>
  <c r="E17" i="4"/>
  <c r="E12" i="4"/>
  <c r="E13" i="4"/>
  <c r="E14" i="4"/>
  <c r="E15" i="4"/>
  <c r="E16" i="4"/>
  <c r="E11" i="4"/>
  <c r="C17" i="4"/>
  <c r="D17" i="4"/>
  <c r="F20" i="4" l="1"/>
  <c r="F26" i="4" s="1"/>
  <c r="D8" i="4"/>
  <c r="B8" i="4" l="1"/>
  <c r="E9" i="2" l="1"/>
  <c r="E10" i="2"/>
  <c r="E11" i="2"/>
  <c r="E12" i="2"/>
  <c r="E13" i="2"/>
  <c r="E14" i="2"/>
  <c r="E15" i="2"/>
  <c r="E16" i="2"/>
  <c r="E17" i="2"/>
  <c r="E18" i="2"/>
  <c r="E19" i="2"/>
  <c r="E7" i="2"/>
  <c r="E8" i="2"/>
  <c r="E6" i="2"/>
  <c r="C6" i="4" s="1"/>
  <c r="E6" i="4" s="1"/>
  <c r="E3" i="2"/>
  <c r="C3" i="4" s="1"/>
  <c r="E3" i="4" s="1"/>
  <c r="E2" i="2"/>
  <c r="C2" i="4" s="1"/>
  <c r="E2" i="4" l="1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C5" i="4"/>
  <c r="E5" i="4" s="1"/>
  <c r="E4" i="2"/>
  <c r="C4" i="4" s="1"/>
  <c r="E4" i="4" s="1"/>
  <c r="E8" i="4" l="1"/>
  <c r="F2" i="4" s="1"/>
  <c r="C8" i="4"/>
  <c r="F5" i="4" l="1"/>
  <c r="F4" i="4"/>
  <c r="F6" i="4"/>
  <c r="F3" i="4"/>
  <c r="F8" i="4" s="1"/>
</calcChain>
</file>

<file path=xl/sharedStrings.xml><?xml version="1.0" encoding="utf-8"?>
<sst xmlns="http://schemas.openxmlformats.org/spreadsheetml/2006/main" count="103" uniqueCount="60">
  <si>
    <t>OneMinute</t>
  </si>
  <si>
    <t>Phase</t>
  </si>
  <si>
    <t>Activity</t>
  </si>
  <si>
    <t>Start</t>
  </si>
  <si>
    <t>Stop</t>
  </si>
  <si>
    <t>Elapse</t>
  </si>
  <si>
    <t>Notes</t>
  </si>
  <si>
    <t>No</t>
  </si>
  <si>
    <t>Defect Type</t>
  </si>
  <si>
    <t>Inject</t>
  </si>
  <si>
    <t>Remove</t>
  </si>
  <si>
    <t>Fix Time</t>
  </si>
  <si>
    <t>Fix Ref</t>
  </si>
  <si>
    <t>Description</t>
  </si>
  <si>
    <t>Name</t>
  </si>
  <si>
    <t>Program</t>
  </si>
  <si>
    <t>Date</t>
  </si>
  <si>
    <t>Program #</t>
  </si>
  <si>
    <t>Language</t>
  </si>
  <si>
    <t>Time in Phase</t>
  </si>
  <si>
    <t>Planning</t>
  </si>
  <si>
    <t>Design</t>
  </si>
  <si>
    <t>Code</t>
  </si>
  <si>
    <t>Compile</t>
  </si>
  <si>
    <t>Test</t>
  </si>
  <si>
    <t>Total</t>
  </si>
  <si>
    <t>Plan</t>
  </si>
  <si>
    <t>Actual</t>
  </si>
  <si>
    <t>To Date</t>
  </si>
  <si>
    <t>To Date %</t>
  </si>
  <si>
    <t>Defects Removed</t>
  </si>
  <si>
    <t>Defects Injected</t>
  </si>
  <si>
    <t>No.</t>
  </si>
  <si>
    <t>Problem</t>
  </si>
  <si>
    <t>Improvement Idea</t>
  </si>
  <si>
    <t>Revision</t>
  </si>
  <si>
    <t>Initial Draft</t>
  </si>
  <si>
    <t>Entry Criteria</t>
  </si>
  <si>
    <t>Exit Criteria</t>
  </si>
  <si>
    <t>Purpose</t>
  </si>
  <si>
    <t>Task</t>
  </si>
  <si>
    <t>Oakkharaphop  Makanat</t>
  </si>
  <si>
    <t>VB.NET</t>
  </si>
  <si>
    <t>Software development process</t>
  </si>
  <si>
    <t>Write a program</t>
  </si>
  <si>
    <t>Requirements are available</t>
  </si>
  <si>
    <t>Program passed all the test</t>
  </si>
  <si>
    <t>Plan about write the program</t>
  </si>
  <si>
    <t>Coding from designed algorithm</t>
  </si>
  <si>
    <t>Compile program</t>
  </si>
  <si>
    <t>Test the program</t>
  </si>
  <si>
    <t>Reflect</t>
  </si>
  <si>
    <t>Reflect on the program</t>
  </si>
  <si>
    <t>Planing</t>
  </si>
  <si>
    <t>Design program</t>
  </si>
  <si>
    <t>Coding</t>
  </si>
  <si>
    <t>Previous</t>
  </si>
  <si>
    <t>Rade , Write , Append , Delete File and Return Invalid Action</t>
  </si>
  <si>
    <t>Check about Coding Standard</t>
  </si>
  <si>
    <t>Checking Count Standard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</si>
</sst>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dd\ mm\ yyyy\ hh:mm:ss"/>
    <numFmt numFmtId="165" formatCode="dd\-mm\-yyyy\ hh:mm:ss"/>
    <numFmt numFmtId="166" formatCode="0.0"/>
    <numFmt numFmtId="167" formatCode="dd\ mmm\ yyyy"/>
    <numFmt numFmtId="168" formatCode="dd\ mmm\ yyyy\ hh:mm:ss"/>
    <numFmt numFmtId="169" formatCode="_-* #,##0.00_-;\-* #,##0.00_-;_-* &quot;-&quot;??_-;_-@_-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6" borderId="0" applyNumberFormat="0" applyBorder="0" applyAlignment="0" applyProtection="0"/>
  </cellStyleXfs>
  <cellXfs count="32">
    <xf numFmtId="0" fontId="0" fillId="0" borderId="0" xfId="0"/>
    <xf numFmtId="164" fontId="0" fillId="0" borderId="0" xfId="0" applyNumberFormat="1"/>
    <xf numFmtId="165" fontId="0" fillId="0" borderId="0" xfId="0" applyNumberFormat="1"/>
    <xf numFmtId="20" fontId="0" fillId="0" borderId="0" xfId="0" applyNumberFormat="1"/>
    <xf numFmtId="0" fontId="1" fillId="0" borderId="0" xfId="0" applyFont="1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/>
    </xf>
    <xf numFmtId="0" fontId="1" fillId="0" borderId="0" xfId="0" applyFont="1"/>
    <xf numFmtId="0" fontId="1" fillId="2" borderId="1" xfId="0" applyFont="1" applyFill="1" applyBorder="1"/>
    <xf numFmtId="0" fontId="1" fillId="0" borderId="1" xfId="0" applyFont="1" applyBorder="1" applyAlignment="1">
      <alignment horizontal="right"/>
    </xf>
    <xf numFmtId="0" fontId="0" fillId="0" borderId="1" xfId="0" applyFill="1" applyBorder="1"/>
    <xf numFmtId="166" fontId="3" fillId="3" borderId="1" xfId="1" applyNumberFormat="1" applyFont="1" applyFill="1" applyBorder="1" applyAlignment="1">
      <alignment horizontal="center"/>
    </xf>
    <xf numFmtId="167" fontId="3" fillId="3" borderId="1" xfId="1" applyNumberFormat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166" fontId="0" fillId="4" borderId="1" xfId="1" applyNumberFormat="1" applyFont="1" applyFill="1" applyBorder="1" applyAlignment="1">
      <alignment horizontal="center"/>
    </xf>
    <xf numFmtId="167" fontId="0" fillId="4" borderId="1" xfId="1" applyNumberFormat="1" applyFont="1" applyFill="1" applyBorder="1" applyAlignment="1">
      <alignment horizontal="center"/>
    </xf>
    <xf numFmtId="0" fontId="0" fillId="4" borderId="1" xfId="0" applyFill="1" applyBorder="1"/>
    <xf numFmtId="0" fontId="1" fillId="5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right"/>
    </xf>
    <xf numFmtId="168" fontId="0" fillId="0" borderId="1" xfId="0" applyNumberFormat="1" applyBorder="1"/>
    <xf numFmtId="15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top"/>
    </xf>
    <xf numFmtId="0" fontId="0" fillId="0" borderId="0" xfId="0"/>
    <xf numFmtId="0" fontId="0" fillId="0" borderId="1" xfId="0" applyBorder="1"/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/>
    <xf numFmtId="168" fontId="0" fillId="0" borderId="1" xfId="0" applyNumberFormat="1" applyBorder="1"/>
    <xf numFmtId="10" fontId="0" fillId="0" borderId="1" xfId="0" applyNumberFormat="1" applyBorder="1"/>
    <xf numFmtId="9" fontId="0" fillId="0" borderId="1" xfId="2" applyFont="1" applyBorder="1"/>
    <xf numFmtId="0" fontId="0" fillId="7" borderId="1" xfId="0" applyFill="1" applyBorder="1"/>
    <xf numFmtId="2" fontId="0" fillId="0" borderId="1" xfId="0" applyNumberFormat="1" applyBorder="1"/>
    <xf numFmtId="0" fontId="0" fillId="0" borderId="1" xfId="0" applyBorder="1" applyAlignment="1">
      <alignment horizontal="center"/>
    </xf>
  </cellXfs>
  <cellStyles count="5">
    <cellStyle name="20% - Accent1 2" xfId="4" xr:uid="{87806326-5C33-4730-BE5B-8713A1EBD5B8}"/>
    <cellStyle name="Comma" xfId="1" builtinId="3"/>
    <cellStyle name="Comma 2" xfId="3" xr:uid="{815540D8-24A4-44A8-A02C-743F4849F404}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4A3A7-A48F-4788-87D3-E948DB00F2B8}">
  <sheetPr codeName="Sheet2"/>
  <dimension ref="A1:B5"/>
  <sheetViews>
    <sheetView workbookViewId="0">
      <selection activeCell="B25" sqref="B25"/>
    </sheetView>
  </sheetViews>
  <sheetFormatPr defaultRowHeight="15" x14ac:dyDescent="0.25"/>
  <cols>
    <col min="1" max="1" width="9.85546875" bestFit="1" customWidth="1"/>
    <col min="2" max="2" width="64" customWidth="1"/>
  </cols>
  <sheetData>
    <row r="1" spans="1:2" x14ac:dyDescent="0.25">
      <c r="A1" s="8" t="s">
        <v>14</v>
      </c>
      <c r="B1" s="5" t="s">
        <v>41</v>
      </c>
    </row>
    <row r="2" spans="1:2" x14ac:dyDescent="0.25">
      <c r="A2" s="8" t="s">
        <v>16</v>
      </c>
      <c r="B2" s="20">
        <v>44336</v>
      </c>
    </row>
    <row r="3" spans="1:2" x14ac:dyDescent="0.25">
      <c r="A3" s="8" t="s">
        <v>17</v>
      </c>
      <c r="B3" s="21">
        <v>3</v>
      </c>
    </row>
    <row r="4" spans="1:2" x14ac:dyDescent="0.25">
      <c r="A4" s="8" t="s">
        <v>15</v>
      </c>
      <c r="B4" s="5" t="s">
        <v>57</v>
      </c>
    </row>
    <row r="5" spans="1:2" x14ac:dyDescent="0.25">
      <c r="A5" s="8" t="s">
        <v>18</v>
      </c>
      <c r="B5" s="5" t="s">
        <v>42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623A4-2877-4BDF-9B89-A4791DAB3E97}">
  <dimension ref="A1:C13"/>
  <sheetViews>
    <sheetView workbookViewId="0">
      <selection activeCell="C13" sqref="C13"/>
    </sheetView>
  </sheetViews>
  <sheetFormatPr defaultRowHeight="15" x14ac:dyDescent="0.25"/>
  <cols>
    <col min="1" max="1" width="12.5703125" bestFit="1" customWidth="1"/>
    <col min="2" max="2" width="15.140625" customWidth="1"/>
    <col min="3" max="3" width="45.28515625" customWidth="1"/>
  </cols>
  <sheetData>
    <row r="1" spans="1:3" x14ac:dyDescent="0.25">
      <c r="A1" s="8" t="s">
        <v>14</v>
      </c>
      <c r="B1" s="31" t="s">
        <v>43</v>
      </c>
      <c r="C1" s="31"/>
    </row>
    <row r="2" spans="1:3" x14ac:dyDescent="0.25">
      <c r="A2" s="8" t="s">
        <v>39</v>
      </c>
      <c r="B2" s="31" t="s">
        <v>44</v>
      </c>
      <c r="C2" s="31"/>
    </row>
    <row r="3" spans="1:3" x14ac:dyDescent="0.25">
      <c r="A3" s="8" t="s">
        <v>37</v>
      </c>
      <c r="B3" s="31" t="s">
        <v>45</v>
      </c>
      <c r="C3" s="31"/>
    </row>
    <row r="4" spans="1:3" x14ac:dyDescent="0.25">
      <c r="A4" s="8" t="s">
        <v>38</v>
      </c>
      <c r="B4" s="31" t="s">
        <v>46</v>
      </c>
      <c r="C4" s="31"/>
    </row>
    <row r="5" spans="1:3" x14ac:dyDescent="0.25">
      <c r="A5" s="17" t="s">
        <v>7</v>
      </c>
      <c r="B5" s="17" t="s">
        <v>40</v>
      </c>
      <c r="C5" s="17" t="s">
        <v>13</v>
      </c>
    </row>
    <row r="6" spans="1:3" x14ac:dyDescent="0.25">
      <c r="A6" s="5">
        <v>1</v>
      </c>
      <c r="B6" s="5" t="s">
        <v>20</v>
      </c>
      <c r="C6" s="5" t="s">
        <v>47</v>
      </c>
    </row>
    <row r="7" spans="1:3" x14ac:dyDescent="0.25">
      <c r="A7" s="5">
        <v>2</v>
      </c>
      <c r="B7" s="5" t="s">
        <v>21</v>
      </c>
      <c r="C7" s="5" t="s">
        <v>54</v>
      </c>
    </row>
    <row r="8" spans="1:3" x14ac:dyDescent="0.25">
      <c r="A8" s="5">
        <v>3</v>
      </c>
      <c r="B8" s="5" t="s">
        <v>55</v>
      </c>
      <c r="C8" s="5" t="s">
        <v>48</v>
      </c>
    </row>
    <row r="9" spans="1:3" x14ac:dyDescent="0.25">
      <c r="A9" s="5">
        <v>4</v>
      </c>
      <c r="B9" s="5" t="s">
        <v>23</v>
      </c>
      <c r="C9" s="5" t="s">
        <v>49</v>
      </c>
    </row>
    <row r="10" spans="1:3" x14ac:dyDescent="0.25">
      <c r="A10" s="5">
        <v>5</v>
      </c>
      <c r="B10" s="5" t="s">
        <v>24</v>
      </c>
      <c r="C10" s="5" t="s">
        <v>50</v>
      </c>
    </row>
    <row r="11" spans="1:3" x14ac:dyDescent="0.25">
      <c r="A11" s="5"/>
      <c r="B11" s="5"/>
      <c r="C11" s="5" t="s">
        <v>58</v>
      </c>
    </row>
    <row r="12" spans="1:3" x14ac:dyDescent="0.25">
      <c r="A12" s="5"/>
      <c r="B12" s="5"/>
      <c r="C12" s="5" t="s">
        <v>59</v>
      </c>
    </row>
    <row r="13" spans="1:3" x14ac:dyDescent="0.25">
      <c r="A13" s="23">
        <v>6</v>
      </c>
      <c r="B13" s="23" t="s">
        <v>51</v>
      </c>
      <c r="C13" s="23" t="s">
        <v>52</v>
      </c>
    </row>
  </sheetData>
  <mergeCells count="4">
    <mergeCell ref="B1:C1"/>
    <mergeCell ref="B2:C2"/>
    <mergeCell ref="B3:C3"/>
    <mergeCell ref="B4:C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0A0B4-1D25-4B8E-A032-CB3A0DFB1101}">
  <sheetPr codeName="Sheet5"/>
  <dimension ref="A1:F50"/>
  <sheetViews>
    <sheetView workbookViewId="0">
      <selection activeCell="F4" sqref="F4"/>
    </sheetView>
  </sheetViews>
  <sheetFormatPr defaultRowHeight="15" x14ac:dyDescent="0.25"/>
  <cols>
    <col min="3" max="4" width="19.42578125" bestFit="1" customWidth="1"/>
    <col min="6" max="6" width="22.28515625" customWidth="1"/>
  </cols>
  <sheetData>
    <row r="1" spans="1:6" s="4" customFormat="1" x14ac:dyDescent="0.25">
      <c r="A1" s="6" t="s">
        <v>1</v>
      </c>
      <c r="B1" s="6" t="s">
        <v>2</v>
      </c>
      <c r="C1" s="6" t="s">
        <v>3</v>
      </c>
      <c r="D1" s="6" t="s">
        <v>4</v>
      </c>
      <c r="E1" s="6" t="s">
        <v>5</v>
      </c>
      <c r="F1" s="6" t="s">
        <v>6</v>
      </c>
    </row>
    <row r="2" spans="1:6" x14ac:dyDescent="0.25">
      <c r="A2" s="5" t="s">
        <v>53</v>
      </c>
      <c r="B2" s="5" t="s">
        <v>26</v>
      </c>
      <c r="C2" s="19">
        <v>44336.879756944443</v>
      </c>
      <c r="D2" s="19">
        <v>44336.881979166668</v>
      </c>
      <c r="E2" s="5">
        <f t="shared" ref="E2:E33" si="0">IF(D2&gt;C2,(D2-C2)/OneMinute,"")</f>
        <v>3.2000000041443855</v>
      </c>
      <c r="F2" s="5"/>
    </row>
    <row r="3" spans="1:6" x14ac:dyDescent="0.25">
      <c r="A3" s="5" t="s">
        <v>21</v>
      </c>
      <c r="B3" s="5" t="s">
        <v>21</v>
      </c>
      <c r="C3" s="19">
        <v>44336.882141203707</v>
      </c>
      <c r="D3" s="19">
        <v>44336.884930555556</v>
      </c>
      <c r="E3" s="5">
        <f t="shared" si="0"/>
        <v>4.0166666626464576</v>
      </c>
      <c r="F3" s="5"/>
    </row>
    <row r="4" spans="1:6" x14ac:dyDescent="0.25">
      <c r="A4" s="5" t="s">
        <v>55</v>
      </c>
      <c r="B4" s="5" t="s">
        <v>55</v>
      </c>
      <c r="C4" s="19">
        <v>44336.886504629627</v>
      </c>
      <c r="D4" s="19">
        <v>44336.894201388888</v>
      </c>
      <c r="E4" s="5">
        <f>IF(D4&gt;C4,(D4-C4)/OneMinute,"")</f>
        <v>11.083333336282521</v>
      </c>
      <c r="F4" s="5"/>
    </row>
    <row r="5" spans="1:6" x14ac:dyDescent="0.25">
      <c r="A5" s="5"/>
      <c r="B5" s="5" t="s">
        <v>23</v>
      </c>
      <c r="C5" s="26">
        <v>44336.894444444442</v>
      </c>
      <c r="D5" s="26">
        <v>44336.89471064815</v>
      </c>
      <c r="E5" s="23">
        <f>IF(D5&gt;C5,(D5-C5)/OneMinute,"")</f>
        <v>0.38333333912305534</v>
      </c>
      <c r="F5" s="5"/>
    </row>
    <row r="6" spans="1:6" x14ac:dyDescent="0.25">
      <c r="A6" s="23" t="s">
        <v>24</v>
      </c>
      <c r="B6" s="23" t="s">
        <v>24</v>
      </c>
      <c r="C6" s="26">
        <v>44336.895162037035</v>
      </c>
      <c r="D6" s="26">
        <v>44336.898564814815</v>
      </c>
      <c r="E6" s="23">
        <f>IF(D6&gt;C6,(D6-C6)/OneMinute,"")</f>
        <v>4.9000000033993274</v>
      </c>
      <c r="F6" s="23"/>
    </row>
    <row r="7" spans="1:6" x14ac:dyDescent="0.25">
      <c r="A7" s="23"/>
      <c r="B7" s="23"/>
      <c r="C7" s="23"/>
      <c r="D7" s="23"/>
      <c r="E7" s="23" t="str">
        <f t="shared" ref="E7:E8" si="1">IF(D7&gt;C7,(D7-C7)/OneMinute,"")</f>
        <v/>
      </c>
      <c r="F7" s="23"/>
    </row>
    <row r="8" spans="1:6" x14ac:dyDescent="0.25">
      <c r="A8" s="23"/>
      <c r="B8" s="23"/>
      <c r="C8" s="23"/>
      <c r="D8" s="23"/>
      <c r="E8" s="23" t="str">
        <f t="shared" si="1"/>
        <v/>
      </c>
      <c r="F8" s="23"/>
    </row>
    <row r="9" spans="1:6" x14ac:dyDescent="0.25">
      <c r="A9" s="23"/>
      <c r="B9" s="23"/>
      <c r="C9" s="23"/>
      <c r="D9" s="23"/>
      <c r="E9" s="23" t="str">
        <f t="shared" ref="E9:E19" si="2">IF(D9&gt;C9,(D9-C9)/OneMinute,"")</f>
        <v/>
      </c>
      <c r="F9" s="23"/>
    </row>
    <row r="10" spans="1:6" x14ac:dyDescent="0.25">
      <c r="A10" s="23"/>
      <c r="B10" s="23"/>
      <c r="C10" s="23"/>
      <c r="D10" s="23"/>
      <c r="E10" s="23" t="str">
        <f t="shared" si="2"/>
        <v/>
      </c>
      <c r="F10" s="23"/>
    </row>
    <row r="11" spans="1:6" x14ac:dyDescent="0.25">
      <c r="A11" s="23"/>
      <c r="B11" s="23"/>
      <c r="C11" s="23"/>
      <c r="D11" s="23"/>
      <c r="E11" s="23" t="str">
        <f t="shared" si="2"/>
        <v/>
      </c>
      <c r="F11" s="5"/>
    </row>
    <row r="12" spans="1:6" x14ac:dyDescent="0.25">
      <c r="A12" s="23"/>
      <c r="B12" s="23"/>
      <c r="C12" s="23"/>
      <c r="D12" s="23"/>
      <c r="E12" s="23" t="str">
        <f t="shared" si="2"/>
        <v/>
      </c>
      <c r="F12" s="5"/>
    </row>
    <row r="13" spans="1:6" x14ac:dyDescent="0.25">
      <c r="A13" s="23"/>
      <c r="B13" s="23"/>
      <c r="C13" s="23"/>
      <c r="D13" s="23"/>
      <c r="E13" s="23" t="str">
        <f t="shared" si="2"/>
        <v/>
      </c>
      <c r="F13" s="5"/>
    </row>
    <row r="14" spans="1:6" x14ac:dyDescent="0.25">
      <c r="A14" s="23"/>
      <c r="B14" s="23"/>
      <c r="C14" s="23"/>
      <c r="D14" s="23"/>
      <c r="E14" s="23" t="str">
        <f t="shared" si="2"/>
        <v/>
      </c>
      <c r="F14" s="5"/>
    </row>
    <row r="15" spans="1:6" x14ac:dyDescent="0.25">
      <c r="A15" s="23"/>
      <c r="B15" s="23"/>
      <c r="C15" s="23"/>
      <c r="D15" s="23"/>
      <c r="E15" s="23" t="str">
        <f t="shared" si="2"/>
        <v/>
      </c>
      <c r="F15" s="5"/>
    </row>
    <row r="16" spans="1:6" x14ac:dyDescent="0.25">
      <c r="A16" s="23"/>
      <c r="B16" s="23"/>
      <c r="C16" s="23"/>
      <c r="D16" s="23"/>
      <c r="E16" s="23" t="str">
        <f t="shared" si="2"/>
        <v/>
      </c>
      <c r="F16" s="5"/>
    </row>
    <row r="17" spans="1:6" x14ac:dyDescent="0.25">
      <c r="A17" s="23"/>
      <c r="B17" s="23"/>
      <c r="C17" s="23"/>
      <c r="D17" s="23"/>
      <c r="E17" s="23" t="str">
        <f t="shared" si="2"/>
        <v/>
      </c>
      <c r="F17" s="5"/>
    </row>
    <row r="18" spans="1:6" x14ac:dyDescent="0.25">
      <c r="A18" s="23"/>
      <c r="B18" s="23"/>
      <c r="C18" s="23"/>
      <c r="D18" s="23"/>
      <c r="E18" s="23" t="str">
        <f t="shared" si="2"/>
        <v/>
      </c>
      <c r="F18" s="5"/>
    </row>
    <row r="19" spans="1:6" x14ac:dyDescent="0.25">
      <c r="A19" s="23"/>
      <c r="B19" s="23"/>
      <c r="C19" s="23"/>
      <c r="D19" s="23"/>
      <c r="E19" s="23" t="str">
        <f t="shared" si="2"/>
        <v/>
      </c>
      <c r="F19" s="5"/>
    </row>
    <row r="20" spans="1:6" x14ac:dyDescent="0.25">
      <c r="A20" s="5"/>
      <c r="B20" s="5"/>
      <c r="C20" s="5"/>
      <c r="D20" s="5"/>
      <c r="E20" s="5" t="str">
        <f t="shared" si="0"/>
        <v/>
      </c>
      <c r="F20" s="5"/>
    </row>
    <row r="21" spans="1:6" x14ac:dyDescent="0.25">
      <c r="A21" s="5"/>
      <c r="B21" s="5"/>
      <c r="C21" s="5"/>
      <c r="D21" s="5"/>
      <c r="E21" s="5" t="str">
        <f t="shared" si="0"/>
        <v/>
      </c>
      <c r="F21" s="5"/>
    </row>
    <row r="22" spans="1:6" x14ac:dyDescent="0.25">
      <c r="A22" s="5"/>
      <c r="B22" s="5"/>
      <c r="C22" s="5"/>
      <c r="D22" s="5"/>
      <c r="E22" s="5" t="str">
        <f t="shared" si="0"/>
        <v/>
      </c>
      <c r="F22" s="5"/>
    </row>
    <row r="23" spans="1:6" x14ac:dyDescent="0.25">
      <c r="A23" s="5"/>
      <c r="B23" s="5"/>
      <c r="C23" s="5"/>
      <c r="D23" s="5"/>
      <c r="E23" s="5" t="str">
        <f t="shared" si="0"/>
        <v/>
      </c>
      <c r="F23" s="5"/>
    </row>
    <row r="24" spans="1:6" x14ac:dyDescent="0.25">
      <c r="A24" s="5"/>
      <c r="B24" s="5"/>
      <c r="C24" s="5"/>
      <c r="D24" s="5"/>
      <c r="E24" s="5" t="str">
        <f t="shared" si="0"/>
        <v/>
      </c>
      <c r="F24" s="5"/>
    </row>
    <row r="25" spans="1:6" x14ac:dyDescent="0.25">
      <c r="A25" s="5"/>
      <c r="B25" s="5"/>
      <c r="C25" s="5"/>
      <c r="D25" s="5"/>
      <c r="E25" s="5" t="str">
        <f t="shared" si="0"/>
        <v/>
      </c>
      <c r="F25" s="5"/>
    </row>
    <row r="26" spans="1:6" x14ac:dyDescent="0.25">
      <c r="A26" s="5"/>
      <c r="B26" s="5"/>
      <c r="C26" s="5"/>
      <c r="D26" s="5"/>
      <c r="E26" s="5" t="str">
        <f t="shared" si="0"/>
        <v/>
      </c>
      <c r="F26" s="5"/>
    </row>
    <row r="27" spans="1:6" x14ac:dyDescent="0.25">
      <c r="A27" s="5"/>
      <c r="B27" s="5"/>
      <c r="C27" s="5"/>
      <c r="D27" s="5"/>
      <c r="E27" s="5" t="str">
        <f t="shared" si="0"/>
        <v/>
      </c>
      <c r="F27" s="5"/>
    </row>
    <row r="28" spans="1:6" x14ac:dyDescent="0.25">
      <c r="A28" s="5"/>
      <c r="B28" s="5"/>
      <c r="C28" s="5"/>
      <c r="D28" s="5"/>
      <c r="E28" s="5" t="str">
        <f t="shared" si="0"/>
        <v/>
      </c>
      <c r="F28" s="5"/>
    </row>
    <row r="29" spans="1:6" x14ac:dyDescent="0.25">
      <c r="A29" s="5"/>
      <c r="B29" s="5"/>
      <c r="C29" s="5"/>
      <c r="D29" s="5"/>
      <c r="E29" s="5" t="str">
        <f t="shared" si="0"/>
        <v/>
      </c>
      <c r="F29" s="5"/>
    </row>
    <row r="30" spans="1:6" x14ac:dyDescent="0.25">
      <c r="A30" s="5"/>
      <c r="B30" s="5"/>
      <c r="C30" s="5"/>
      <c r="D30" s="5"/>
      <c r="E30" s="5" t="str">
        <f t="shared" si="0"/>
        <v/>
      </c>
      <c r="F30" s="5"/>
    </row>
    <row r="31" spans="1:6" x14ac:dyDescent="0.25">
      <c r="A31" s="5"/>
      <c r="B31" s="5"/>
      <c r="C31" s="5"/>
      <c r="D31" s="5"/>
      <c r="E31" s="5" t="str">
        <f t="shared" si="0"/>
        <v/>
      </c>
      <c r="F31" s="5"/>
    </row>
    <row r="32" spans="1:6" x14ac:dyDescent="0.25">
      <c r="A32" s="5"/>
      <c r="B32" s="5"/>
      <c r="C32" s="5"/>
      <c r="D32" s="5"/>
      <c r="E32" s="5" t="str">
        <f t="shared" si="0"/>
        <v/>
      </c>
      <c r="F32" s="5"/>
    </row>
    <row r="33" spans="1:6" x14ac:dyDescent="0.25">
      <c r="A33" s="5"/>
      <c r="B33" s="5"/>
      <c r="C33" s="5"/>
      <c r="D33" s="5"/>
      <c r="E33" s="5" t="str">
        <f t="shared" si="0"/>
        <v/>
      </c>
      <c r="F33" s="5"/>
    </row>
    <row r="34" spans="1:6" x14ac:dyDescent="0.25">
      <c r="A34" s="5"/>
      <c r="B34" s="5"/>
      <c r="C34" s="5"/>
      <c r="D34" s="5"/>
      <c r="E34" s="5" t="str">
        <f t="shared" ref="E34:E50" si="3">IF(D34&gt;C34,(D34-C34)/OneMinute,"")</f>
        <v/>
      </c>
      <c r="F34" s="5"/>
    </row>
    <row r="35" spans="1:6" x14ac:dyDescent="0.25">
      <c r="A35" s="5"/>
      <c r="B35" s="5"/>
      <c r="C35" s="5"/>
      <c r="D35" s="5"/>
      <c r="E35" s="5" t="str">
        <f t="shared" si="3"/>
        <v/>
      </c>
      <c r="F35" s="5"/>
    </row>
    <row r="36" spans="1:6" x14ac:dyDescent="0.25">
      <c r="A36" s="5"/>
      <c r="B36" s="5"/>
      <c r="C36" s="5"/>
      <c r="D36" s="5"/>
      <c r="E36" s="5" t="str">
        <f t="shared" si="3"/>
        <v/>
      </c>
      <c r="F36" s="5"/>
    </row>
    <row r="37" spans="1:6" x14ac:dyDescent="0.25">
      <c r="A37" s="5"/>
      <c r="B37" s="5"/>
      <c r="C37" s="5"/>
      <c r="D37" s="5"/>
      <c r="E37" s="5" t="str">
        <f t="shared" si="3"/>
        <v/>
      </c>
      <c r="F37" s="5"/>
    </row>
    <row r="38" spans="1:6" x14ac:dyDescent="0.25">
      <c r="A38" s="5"/>
      <c r="B38" s="5"/>
      <c r="C38" s="5"/>
      <c r="D38" s="5"/>
      <c r="E38" s="5" t="str">
        <f t="shared" si="3"/>
        <v/>
      </c>
      <c r="F38" s="5"/>
    </row>
    <row r="39" spans="1:6" x14ac:dyDescent="0.25">
      <c r="A39" s="5"/>
      <c r="B39" s="5"/>
      <c r="C39" s="5"/>
      <c r="D39" s="5"/>
      <c r="E39" s="5" t="str">
        <f t="shared" si="3"/>
        <v/>
      </c>
      <c r="F39" s="5"/>
    </row>
    <row r="40" spans="1:6" x14ac:dyDescent="0.25">
      <c r="A40" s="5"/>
      <c r="B40" s="5"/>
      <c r="C40" s="5"/>
      <c r="D40" s="5"/>
      <c r="E40" s="5" t="str">
        <f t="shared" si="3"/>
        <v/>
      </c>
      <c r="F40" s="5"/>
    </row>
    <row r="41" spans="1:6" x14ac:dyDescent="0.25">
      <c r="A41" s="5"/>
      <c r="B41" s="5"/>
      <c r="C41" s="5"/>
      <c r="D41" s="5"/>
      <c r="E41" s="5" t="str">
        <f t="shared" si="3"/>
        <v/>
      </c>
      <c r="F41" s="5"/>
    </row>
    <row r="42" spans="1:6" x14ac:dyDescent="0.25">
      <c r="A42" s="5"/>
      <c r="B42" s="5"/>
      <c r="C42" s="5"/>
      <c r="D42" s="5"/>
      <c r="E42" s="5" t="str">
        <f t="shared" si="3"/>
        <v/>
      </c>
      <c r="F42" s="5"/>
    </row>
    <row r="43" spans="1:6" x14ac:dyDescent="0.25">
      <c r="A43" s="5"/>
      <c r="B43" s="5"/>
      <c r="C43" s="5"/>
      <c r="D43" s="5"/>
      <c r="E43" s="5" t="str">
        <f t="shared" si="3"/>
        <v/>
      </c>
      <c r="F43" s="5"/>
    </row>
    <row r="44" spans="1:6" x14ac:dyDescent="0.25">
      <c r="A44" s="5"/>
      <c r="B44" s="5"/>
      <c r="C44" s="5"/>
      <c r="D44" s="5"/>
      <c r="E44" s="5" t="str">
        <f t="shared" si="3"/>
        <v/>
      </c>
      <c r="F44" s="5"/>
    </row>
    <row r="45" spans="1:6" x14ac:dyDescent="0.25">
      <c r="A45" s="5"/>
      <c r="B45" s="5"/>
      <c r="C45" s="5"/>
      <c r="D45" s="5"/>
      <c r="E45" s="5" t="str">
        <f t="shared" si="3"/>
        <v/>
      </c>
      <c r="F45" s="5"/>
    </row>
    <row r="46" spans="1:6" x14ac:dyDescent="0.25">
      <c r="A46" s="5"/>
      <c r="B46" s="5"/>
      <c r="C46" s="5"/>
      <c r="D46" s="5"/>
      <c r="E46" s="5" t="str">
        <f t="shared" si="3"/>
        <v/>
      </c>
      <c r="F46" s="5"/>
    </row>
    <row r="47" spans="1:6" x14ac:dyDescent="0.25">
      <c r="A47" s="5"/>
      <c r="B47" s="5"/>
      <c r="C47" s="5"/>
      <c r="D47" s="5"/>
      <c r="E47" s="5" t="str">
        <f t="shared" si="3"/>
        <v/>
      </c>
      <c r="F47" s="5"/>
    </row>
    <row r="48" spans="1:6" x14ac:dyDescent="0.25">
      <c r="A48" s="5"/>
      <c r="B48" s="5"/>
      <c r="C48" s="5"/>
      <c r="D48" s="5"/>
      <c r="E48" s="5" t="str">
        <f t="shared" si="3"/>
        <v/>
      </c>
      <c r="F48" s="5"/>
    </row>
    <row r="49" spans="1:6" x14ac:dyDescent="0.25">
      <c r="A49" s="5"/>
      <c r="B49" s="5"/>
      <c r="C49" s="5"/>
      <c r="D49" s="5"/>
      <c r="E49" s="5" t="str">
        <f t="shared" si="3"/>
        <v/>
      </c>
      <c r="F49" s="5"/>
    </row>
    <row r="50" spans="1:6" x14ac:dyDescent="0.25">
      <c r="A50" s="5"/>
      <c r="B50" s="5"/>
      <c r="C50" s="5"/>
      <c r="D50" s="5"/>
      <c r="E50" s="5" t="str">
        <f t="shared" si="3"/>
        <v/>
      </c>
      <c r="F50" s="5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4878B-ED12-4133-A55B-D3AD932A92C4}">
  <sheetPr codeName="Sheet3"/>
  <dimension ref="A1:F26"/>
  <sheetViews>
    <sheetView workbookViewId="0">
      <selection activeCell="B5" sqref="B5"/>
    </sheetView>
  </sheetViews>
  <sheetFormatPr defaultRowHeight="15" x14ac:dyDescent="0.25"/>
  <cols>
    <col min="1" max="1" width="15.5703125" style="7" bestFit="1" customWidth="1"/>
    <col min="4" max="4" width="9.140625" style="22"/>
    <col min="6" max="6" width="9.7109375" bestFit="1" customWidth="1"/>
  </cols>
  <sheetData>
    <row r="1" spans="1:6" s="4" customFormat="1" x14ac:dyDescent="0.25">
      <c r="A1" s="6" t="s">
        <v>19</v>
      </c>
      <c r="B1" s="6" t="s">
        <v>26</v>
      </c>
      <c r="C1" s="6" t="s">
        <v>27</v>
      </c>
      <c r="D1" s="24" t="s">
        <v>56</v>
      </c>
      <c r="E1" s="6" t="s">
        <v>28</v>
      </c>
      <c r="F1" s="6" t="s">
        <v>29</v>
      </c>
    </row>
    <row r="2" spans="1:6" x14ac:dyDescent="0.25">
      <c r="A2" s="8" t="s">
        <v>20</v>
      </c>
      <c r="B2" s="5">
        <v>5</v>
      </c>
      <c r="C2" s="30">
        <f>'Time Log'!E2</f>
        <v>3.2000000041443855</v>
      </c>
      <c r="D2" s="30">
        <v>7.7333333376795057</v>
      </c>
      <c r="E2" s="30">
        <f>C2+D2</f>
        <v>10.933333341823891</v>
      </c>
      <c r="F2" s="27">
        <f>E2/$E$8</f>
        <v>0.12094841260889823</v>
      </c>
    </row>
    <row r="3" spans="1:6" x14ac:dyDescent="0.25">
      <c r="A3" s="8" t="s">
        <v>21</v>
      </c>
      <c r="B3" s="5">
        <v>5</v>
      </c>
      <c r="C3" s="30">
        <f>'Time Log'!E3</f>
        <v>4.0166666626464576</v>
      </c>
      <c r="D3" s="30">
        <v>6.5833333396818485</v>
      </c>
      <c r="E3" s="30">
        <f t="shared" ref="E3:E6" si="0">C3+D3</f>
        <v>10.600000002328306</v>
      </c>
      <c r="F3" s="27">
        <f t="shared" ref="F3:F6" si="1">E3/$E$8</f>
        <v>0.11726096093966298</v>
      </c>
    </row>
    <row r="4" spans="1:6" x14ac:dyDescent="0.25">
      <c r="A4" s="8" t="s">
        <v>22</v>
      </c>
      <c r="B4" s="5">
        <v>30</v>
      </c>
      <c r="C4" s="30">
        <f>'Time Log'!E4</f>
        <v>11.083333336282521</v>
      </c>
      <c r="D4" s="30">
        <v>45.216666668048127</v>
      </c>
      <c r="E4" s="30">
        <f t="shared" si="0"/>
        <v>56.300000004330649</v>
      </c>
      <c r="F4" s="27">
        <f t="shared" si="1"/>
        <v>0.62281057546799512</v>
      </c>
    </row>
    <row r="5" spans="1:6" x14ac:dyDescent="0.25">
      <c r="A5" s="8" t="s">
        <v>23</v>
      </c>
      <c r="B5" s="5">
        <v>1</v>
      </c>
      <c r="C5" s="30">
        <f>'Time Log'!E5</f>
        <v>0.38333333912305534</v>
      </c>
      <c r="D5" s="30">
        <v>1.1833333346992732</v>
      </c>
      <c r="E5" s="30">
        <f t="shared" si="0"/>
        <v>1.5666666738223285</v>
      </c>
      <c r="F5" s="27">
        <f t="shared" si="1"/>
        <v>1.7331022604169799E-2</v>
      </c>
    </row>
    <row r="6" spans="1:6" x14ac:dyDescent="0.25">
      <c r="A6" s="8" t="s">
        <v>24</v>
      </c>
      <c r="B6" s="5">
        <v>5</v>
      </c>
      <c r="C6" s="30">
        <f>'Time Log'!E6</f>
        <v>4.9000000033993274</v>
      </c>
      <c r="D6" s="30">
        <v>6.0966666687000544</v>
      </c>
      <c r="E6" s="30">
        <f t="shared" si="0"/>
        <v>10.996666672099382</v>
      </c>
      <c r="F6" s="27">
        <f t="shared" si="1"/>
        <v>0.12164902837927388</v>
      </c>
    </row>
    <row r="7" spans="1:6" x14ac:dyDescent="0.25">
      <c r="A7" s="8" t="s">
        <v>51</v>
      </c>
      <c r="B7" s="10"/>
      <c r="C7" s="30"/>
      <c r="D7" s="30"/>
      <c r="E7" s="30"/>
      <c r="F7" s="5"/>
    </row>
    <row r="8" spans="1:6" x14ac:dyDescent="0.25">
      <c r="A8" s="9" t="s">
        <v>25</v>
      </c>
      <c r="B8" s="29">
        <f>SUM(B2:B7)</f>
        <v>46</v>
      </c>
      <c r="C8" s="30">
        <f>SUM(C2:C7)</f>
        <v>23.583333345595747</v>
      </c>
      <c r="D8" s="30">
        <f>SUM(D2:D6)</f>
        <v>66.813333348808811</v>
      </c>
      <c r="E8" s="30">
        <f>SUM(E2:E7)</f>
        <v>90.396666694404558</v>
      </c>
      <c r="F8" s="28">
        <f>SUM(F2:F7)</f>
        <v>1</v>
      </c>
    </row>
    <row r="10" spans="1:6" x14ac:dyDescent="0.25">
      <c r="A10" s="8" t="s">
        <v>31</v>
      </c>
      <c r="B10" s="24" t="s">
        <v>26</v>
      </c>
      <c r="C10" s="8" t="s">
        <v>27</v>
      </c>
      <c r="D10" s="24" t="s">
        <v>56</v>
      </c>
      <c r="E10" s="8" t="s">
        <v>28</v>
      </c>
      <c r="F10" s="8" t="s">
        <v>29</v>
      </c>
    </row>
    <row r="11" spans="1:6" x14ac:dyDescent="0.25">
      <c r="A11" s="8" t="s">
        <v>20</v>
      </c>
      <c r="B11" s="5"/>
      <c r="C11" s="5">
        <v>0</v>
      </c>
      <c r="D11" s="23">
        <v>0</v>
      </c>
      <c r="E11" s="5">
        <f>C11+D11</f>
        <v>0</v>
      </c>
      <c r="F11" s="28">
        <f>E11/$E$17</f>
        <v>0</v>
      </c>
    </row>
    <row r="12" spans="1:6" x14ac:dyDescent="0.25">
      <c r="A12" s="8" t="s">
        <v>21</v>
      </c>
      <c r="B12" s="5"/>
      <c r="C12" s="5">
        <v>0</v>
      </c>
      <c r="D12" s="23">
        <v>0</v>
      </c>
      <c r="E12" s="23">
        <f t="shared" ref="E12:E16" si="2">C12+D12</f>
        <v>0</v>
      </c>
      <c r="F12" s="28">
        <f t="shared" ref="F12:F16" si="3">E12/$E$17</f>
        <v>0</v>
      </c>
    </row>
    <row r="13" spans="1:6" x14ac:dyDescent="0.25">
      <c r="A13" s="8" t="s">
        <v>22</v>
      </c>
      <c r="B13" s="5"/>
      <c r="C13" s="5">
        <v>0</v>
      </c>
      <c r="D13" s="23">
        <v>2.58</v>
      </c>
      <c r="E13" s="23">
        <f t="shared" si="2"/>
        <v>2.58</v>
      </c>
      <c r="F13" s="28">
        <f t="shared" si="3"/>
        <v>1</v>
      </c>
    </row>
    <row r="14" spans="1:6" x14ac:dyDescent="0.25">
      <c r="A14" s="8" t="s">
        <v>23</v>
      </c>
      <c r="B14" s="5"/>
      <c r="C14" s="5">
        <v>0</v>
      </c>
      <c r="D14" s="23">
        <v>0</v>
      </c>
      <c r="E14" s="23">
        <f t="shared" si="2"/>
        <v>0</v>
      </c>
      <c r="F14" s="28">
        <f t="shared" si="3"/>
        <v>0</v>
      </c>
    </row>
    <row r="15" spans="1:6" x14ac:dyDescent="0.25">
      <c r="A15" s="8" t="s">
        <v>24</v>
      </c>
      <c r="B15" s="5"/>
      <c r="C15" s="5">
        <v>0</v>
      </c>
      <c r="D15" s="23">
        <v>0</v>
      </c>
      <c r="E15" s="23">
        <f t="shared" si="2"/>
        <v>0</v>
      </c>
      <c r="F15" s="28">
        <f t="shared" si="3"/>
        <v>0</v>
      </c>
    </row>
    <row r="16" spans="1:6" x14ac:dyDescent="0.25">
      <c r="A16" s="8" t="s">
        <v>51</v>
      </c>
      <c r="B16" s="5"/>
      <c r="C16" s="5">
        <v>0</v>
      </c>
      <c r="D16" s="23">
        <v>0</v>
      </c>
      <c r="E16" s="23">
        <f t="shared" si="2"/>
        <v>0</v>
      </c>
      <c r="F16" s="28">
        <f t="shared" si="3"/>
        <v>0</v>
      </c>
    </row>
    <row r="17" spans="1:6" x14ac:dyDescent="0.25">
      <c r="A17" s="18" t="s">
        <v>25</v>
      </c>
      <c r="B17" s="5"/>
      <c r="C17" s="23">
        <f>SUM(C11:C16)</f>
        <v>0</v>
      </c>
      <c r="D17" s="23">
        <f>SUM(D11:D16)</f>
        <v>2.58</v>
      </c>
      <c r="E17" s="23">
        <f t="shared" ref="E17:F17" si="4">SUM(E11:E16)</f>
        <v>2.58</v>
      </c>
      <c r="F17" s="28">
        <f t="shared" si="4"/>
        <v>1</v>
      </c>
    </row>
    <row r="19" spans="1:6" x14ac:dyDescent="0.25">
      <c r="A19" s="8" t="s">
        <v>30</v>
      </c>
      <c r="B19" s="24" t="s">
        <v>26</v>
      </c>
      <c r="C19" s="25" t="s">
        <v>27</v>
      </c>
      <c r="D19" s="24" t="s">
        <v>56</v>
      </c>
      <c r="E19" s="8" t="s">
        <v>28</v>
      </c>
      <c r="F19" s="8" t="s">
        <v>29</v>
      </c>
    </row>
    <row r="20" spans="1:6" x14ac:dyDescent="0.25">
      <c r="A20" s="8" t="s">
        <v>20</v>
      </c>
      <c r="B20" s="23"/>
      <c r="C20" s="23">
        <v>0</v>
      </c>
      <c r="D20" s="23">
        <v>0</v>
      </c>
      <c r="E20" s="23">
        <f>C20+D20</f>
        <v>0</v>
      </c>
      <c r="F20" s="28">
        <f>E20/$E$17</f>
        <v>0</v>
      </c>
    </row>
    <row r="21" spans="1:6" x14ac:dyDescent="0.25">
      <c r="A21" s="8" t="s">
        <v>21</v>
      </c>
      <c r="B21" s="23"/>
      <c r="C21" s="23">
        <v>0</v>
      </c>
      <c r="D21" s="23">
        <v>0</v>
      </c>
      <c r="E21" s="23">
        <f t="shared" ref="E21:E25" si="5">C21+D21</f>
        <v>0</v>
      </c>
      <c r="F21" s="28">
        <f t="shared" ref="F21:F25" si="6">E21/$E$17</f>
        <v>0</v>
      </c>
    </row>
    <row r="22" spans="1:6" x14ac:dyDescent="0.25">
      <c r="A22" s="8" t="s">
        <v>22</v>
      </c>
      <c r="B22" s="23"/>
      <c r="C22" s="23">
        <v>0</v>
      </c>
      <c r="D22" s="23">
        <v>0</v>
      </c>
      <c r="E22" s="23">
        <f t="shared" si="5"/>
        <v>0</v>
      </c>
      <c r="F22" s="28">
        <f t="shared" si="6"/>
        <v>0</v>
      </c>
    </row>
    <row r="23" spans="1:6" x14ac:dyDescent="0.25">
      <c r="A23" s="8" t="s">
        <v>23</v>
      </c>
      <c r="B23" s="23"/>
      <c r="C23" s="23">
        <v>0</v>
      </c>
      <c r="D23" s="23">
        <v>0</v>
      </c>
      <c r="E23" s="23">
        <f t="shared" si="5"/>
        <v>0</v>
      </c>
      <c r="F23" s="28">
        <f t="shared" si="6"/>
        <v>0</v>
      </c>
    </row>
    <row r="24" spans="1:6" x14ac:dyDescent="0.25">
      <c r="A24" s="8" t="s">
        <v>24</v>
      </c>
      <c r="B24" s="23"/>
      <c r="C24" s="23">
        <v>0</v>
      </c>
      <c r="D24" s="23">
        <v>0</v>
      </c>
      <c r="E24" s="23">
        <f t="shared" si="5"/>
        <v>0</v>
      </c>
      <c r="F24" s="28">
        <f t="shared" si="6"/>
        <v>0</v>
      </c>
    </row>
    <row r="25" spans="1:6" x14ac:dyDescent="0.25">
      <c r="A25" s="8" t="s">
        <v>51</v>
      </c>
      <c r="B25" s="23"/>
      <c r="C25" s="23">
        <v>0</v>
      </c>
      <c r="D25" s="23">
        <v>0</v>
      </c>
      <c r="E25" s="23">
        <f t="shared" si="5"/>
        <v>0</v>
      </c>
      <c r="F25" s="28">
        <f t="shared" si="6"/>
        <v>0</v>
      </c>
    </row>
    <row r="26" spans="1:6" x14ac:dyDescent="0.25">
      <c r="A26" s="18" t="s">
        <v>25</v>
      </c>
      <c r="B26" s="23"/>
      <c r="C26" s="23">
        <f>SUM(C20:C25)</f>
        <v>0</v>
      </c>
      <c r="D26" s="23">
        <f>SUM(D20:D25)</f>
        <v>0</v>
      </c>
      <c r="E26" s="23">
        <f t="shared" ref="E26" si="7">SUM(E20:E25)</f>
        <v>0</v>
      </c>
      <c r="F26" s="28">
        <f t="shared" ref="F26" si="8">SUM(F20:F25)</f>
        <v>0</v>
      </c>
    </row>
  </sheetData>
  <pageMargins left="0.7" right="0.7" top="0.75" bottom="0.75" header="0.3" footer="0.3"/>
  <pageSetup paperSize="9" orientation="portrait" verticalDpi="0" r:id="rId1"/>
  <ignoredErrors>
    <ignoredError sqref="D8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E065B-A4D3-4623-A2B3-B765FB309613}">
  <sheetPr codeName="Sheet6"/>
  <dimension ref="A1:G12"/>
  <sheetViews>
    <sheetView tabSelected="1" workbookViewId="0">
      <selection activeCell="G13" sqref="G13"/>
    </sheetView>
  </sheetViews>
  <sheetFormatPr defaultRowHeight="15" x14ac:dyDescent="0.25"/>
  <cols>
    <col min="1" max="1" width="3.5703125" bestFit="1" customWidth="1"/>
    <col min="2" max="2" width="11.5703125" bestFit="1" customWidth="1"/>
    <col min="3" max="3" width="7.140625" bestFit="1" customWidth="1"/>
    <col min="4" max="4" width="8.28515625" bestFit="1" customWidth="1"/>
    <col min="5" max="5" width="8.42578125" bestFit="1" customWidth="1"/>
    <col min="6" max="6" width="7" bestFit="1" customWidth="1"/>
    <col min="7" max="7" width="38.5703125" customWidth="1"/>
  </cols>
  <sheetData>
    <row r="1" spans="1:7" s="4" customFormat="1" x14ac:dyDescent="0.25">
      <c r="A1" s="6" t="s">
        <v>7</v>
      </c>
      <c r="B1" s="6" t="s">
        <v>8</v>
      </c>
      <c r="C1" s="6" t="s">
        <v>9</v>
      </c>
      <c r="D1" s="6" t="s">
        <v>10</v>
      </c>
      <c r="E1" s="6" t="s">
        <v>11</v>
      </c>
      <c r="F1" s="6" t="s">
        <v>12</v>
      </c>
      <c r="G1" s="6" t="s">
        <v>13</v>
      </c>
    </row>
    <row r="2" spans="1:7" x14ac:dyDescent="0.25">
      <c r="A2" s="5"/>
      <c r="B2" s="5"/>
      <c r="C2" s="5"/>
      <c r="D2" s="5"/>
      <c r="E2" s="5"/>
      <c r="F2" s="5"/>
      <c r="G2" s="5"/>
    </row>
    <row r="3" spans="1:7" x14ac:dyDescent="0.25">
      <c r="A3" s="5"/>
      <c r="B3" s="5"/>
      <c r="C3" s="5"/>
      <c r="D3" s="5"/>
      <c r="E3" s="5"/>
      <c r="F3" s="5"/>
      <c r="G3" s="5"/>
    </row>
    <row r="4" spans="1:7" x14ac:dyDescent="0.25">
      <c r="A4" s="5"/>
      <c r="B4" s="5"/>
      <c r="C4" s="5"/>
      <c r="D4" s="5"/>
      <c r="E4" s="5"/>
      <c r="F4" s="5"/>
      <c r="G4" s="5"/>
    </row>
    <row r="5" spans="1:7" x14ac:dyDescent="0.25">
      <c r="A5" s="5"/>
      <c r="B5" s="5"/>
      <c r="C5" s="5"/>
      <c r="D5" s="5"/>
      <c r="E5" s="5"/>
      <c r="F5" s="5"/>
      <c r="G5" s="5"/>
    </row>
    <row r="6" spans="1:7" x14ac:dyDescent="0.25">
      <c r="A6" s="5"/>
      <c r="B6" s="5"/>
      <c r="C6" s="5"/>
      <c r="D6" s="5"/>
      <c r="E6" s="5"/>
      <c r="F6" s="5"/>
      <c r="G6" s="5"/>
    </row>
    <row r="7" spans="1:7" x14ac:dyDescent="0.25">
      <c r="A7" s="5"/>
      <c r="B7" s="5"/>
      <c r="C7" s="5"/>
      <c r="D7" s="5"/>
      <c r="E7" s="5"/>
      <c r="F7" s="5"/>
      <c r="G7" s="5"/>
    </row>
    <row r="8" spans="1:7" x14ac:dyDescent="0.25">
      <c r="A8" s="5"/>
      <c r="B8" s="5"/>
      <c r="C8" s="5"/>
      <c r="D8" s="5"/>
      <c r="E8" s="5"/>
      <c r="F8" s="5"/>
      <c r="G8" s="5"/>
    </row>
    <row r="9" spans="1:7" x14ac:dyDescent="0.25">
      <c r="A9" s="5"/>
      <c r="B9" s="5"/>
      <c r="C9" s="5"/>
      <c r="D9" s="5"/>
      <c r="E9" s="5"/>
      <c r="F9" s="5"/>
      <c r="G9" s="5"/>
    </row>
    <row r="10" spans="1:7" x14ac:dyDescent="0.25">
      <c r="A10" s="5"/>
      <c r="B10" s="5"/>
      <c r="C10" s="5"/>
      <c r="D10" s="5"/>
      <c r="E10" s="5"/>
      <c r="F10" s="5"/>
      <c r="G10" s="5"/>
    </row>
    <row r="11" spans="1:7" x14ac:dyDescent="0.25">
      <c r="A11" s="5"/>
      <c r="B11" s="5"/>
      <c r="C11" s="5"/>
      <c r="D11" s="5"/>
      <c r="E11" s="5"/>
      <c r="F11" s="5"/>
      <c r="G11" s="5"/>
    </row>
    <row r="12" spans="1:7" x14ac:dyDescent="0.25">
      <c r="A12" s="5"/>
      <c r="B12" s="5"/>
      <c r="C12" s="5"/>
      <c r="D12" s="5"/>
      <c r="E12" s="5"/>
      <c r="F12" s="5"/>
      <c r="G12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0B73C-7A85-43BD-B8FE-61A4AB315187}">
  <sheetPr codeName="Sheet4"/>
  <dimension ref="A1:D7"/>
  <sheetViews>
    <sheetView workbookViewId="0">
      <selection activeCell="A2" sqref="A2:C2"/>
    </sheetView>
  </sheetViews>
  <sheetFormatPr defaultRowHeight="15" x14ac:dyDescent="0.25"/>
  <cols>
    <col min="1" max="1" width="4.140625" bestFit="1" customWidth="1"/>
    <col min="2" max="4" width="36.28515625" customWidth="1"/>
  </cols>
  <sheetData>
    <row r="1" spans="1:4" s="7" customFormat="1" x14ac:dyDescent="0.25">
      <c r="A1" s="8" t="s">
        <v>32</v>
      </c>
      <c r="B1" s="8" t="s">
        <v>33</v>
      </c>
      <c r="C1" s="8" t="s">
        <v>34</v>
      </c>
      <c r="D1" s="8" t="s">
        <v>6</v>
      </c>
    </row>
    <row r="2" spans="1:4" x14ac:dyDescent="0.25">
      <c r="A2" s="10"/>
      <c r="B2" s="10"/>
      <c r="C2" s="10"/>
      <c r="D2" s="10"/>
    </row>
    <row r="3" spans="1:4" x14ac:dyDescent="0.25">
      <c r="A3" s="10"/>
      <c r="B3" s="10"/>
      <c r="C3" s="10"/>
      <c r="D3" s="10"/>
    </row>
    <row r="4" spans="1:4" x14ac:dyDescent="0.25">
      <c r="A4" s="10"/>
      <c r="B4" s="10"/>
      <c r="C4" s="10"/>
      <c r="D4" s="10"/>
    </row>
    <row r="5" spans="1:4" x14ac:dyDescent="0.25">
      <c r="A5" s="10"/>
      <c r="B5" s="10"/>
      <c r="C5" s="10"/>
      <c r="D5" s="10"/>
    </row>
    <row r="6" spans="1:4" x14ac:dyDescent="0.25">
      <c r="A6" s="10"/>
      <c r="B6" s="10"/>
      <c r="C6" s="10"/>
      <c r="D6" s="10"/>
    </row>
    <row r="7" spans="1:4" x14ac:dyDescent="0.25">
      <c r="A7" s="10"/>
      <c r="B7" s="10"/>
      <c r="C7" s="10"/>
      <c r="D7" s="1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3D365-1C02-46DE-9388-BF1D147E0F6E}">
  <sheetPr codeName="Sheet1"/>
  <dimension ref="A1:E2"/>
  <sheetViews>
    <sheetView workbookViewId="0">
      <selection activeCell="A2" sqref="A2"/>
    </sheetView>
  </sheetViews>
  <sheetFormatPr defaultRowHeight="15" x14ac:dyDescent="0.25"/>
  <cols>
    <col min="5" max="5" width="18.28515625" bestFit="1" customWidth="1"/>
  </cols>
  <sheetData>
    <row r="1" spans="1:5" x14ac:dyDescent="0.25">
      <c r="A1" t="s">
        <v>0</v>
      </c>
      <c r="B1" s="3">
        <v>6.9444444444444447E-4</v>
      </c>
      <c r="E1" s="1"/>
    </row>
    <row r="2" spans="1:5" x14ac:dyDescent="0.25">
      <c r="E2" s="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F4863-827B-4A54-A380-51E733E103E8}">
  <dimension ref="A1:C2"/>
  <sheetViews>
    <sheetView workbookViewId="0">
      <selection activeCell="B2" sqref="B2"/>
    </sheetView>
  </sheetViews>
  <sheetFormatPr defaultRowHeight="15" x14ac:dyDescent="0.25"/>
  <cols>
    <col min="1" max="1" width="8.7109375" bestFit="1" customWidth="1"/>
    <col min="2" max="2" width="10.85546875" bestFit="1" customWidth="1"/>
    <col min="3" max="3" width="11.140625" bestFit="1" customWidth="1"/>
  </cols>
  <sheetData>
    <row r="1" spans="1:3" x14ac:dyDescent="0.25">
      <c r="A1" s="11" t="s">
        <v>35</v>
      </c>
      <c r="B1" s="12" t="s">
        <v>16</v>
      </c>
      <c r="C1" s="13" t="s">
        <v>13</v>
      </c>
    </row>
    <row r="2" spans="1:3" x14ac:dyDescent="0.25">
      <c r="A2" s="14">
        <v>1</v>
      </c>
      <c r="B2" s="15">
        <v>44008</v>
      </c>
      <c r="C2" s="16" t="s">
        <v>36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FE50DA7474EC5488F93C2E32F0DFEB8" ma:contentTypeVersion="0" ma:contentTypeDescription="Create a new document." ma:contentTypeScope="" ma:versionID="df57151598b484462a89963fe2e31320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13257cd9829394d17656a545d5fa4e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3BBA3EE-24AB-4545-9405-3E48681AD0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11F880DD-F852-496C-9CBB-1AE53FE48E91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AE7F5755-5BC0-4023-A15E-005D0D9F687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General Information</vt:lpstr>
      <vt:lpstr>Process Description</vt:lpstr>
      <vt:lpstr>Time Log</vt:lpstr>
      <vt:lpstr>Project Plan Summary</vt:lpstr>
      <vt:lpstr>Defect Log</vt:lpstr>
      <vt:lpstr>Process Improvement Proposal</vt:lpstr>
      <vt:lpstr>Constant</vt:lpstr>
      <vt:lpstr>Revision History</vt:lpstr>
      <vt:lpstr>OneMinute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suradet</dc:creator>
  <cp:lastModifiedBy>Asus</cp:lastModifiedBy>
  <dcterms:created xsi:type="dcterms:W3CDTF">2020-06-24T14:08:00Z</dcterms:created>
  <dcterms:modified xsi:type="dcterms:W3CDTF">2021-05-22T02:05:34Z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0x010100EFE50DA7474EC5488F93C2E32F0DFEB8</vt:lpwstr>
  </property>
</Properties>
</file>